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Qwen2.5-7B" sheetId="2" state="visible" r:id="rId4"/>
    <sheet name="GPT-4o-mini" sheetId="3" state="visible" r:id="rId5"/>
    <sheet name="Llama-3.1-8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<sst xmlns="http://schemas.openxmlformats.org/spreadsheetml/2006/main" count="215" uniqueCount="76">
  <si>
    <t xml:space="preserve">Kế hoạch chạy AgentMailGuard — tổng quan 3 model</t>
  </si>
  <si>
    <t xml:space="preserve">Tập mẫu chung mỗi model: 1.000 attack email (250 × 4 level) · 300 tài liệu độc · 500 email lành tính = 1.800 mẫu</t>
  </si>
  <si>
    <t xml:space="preserve">Thứ tự</t>
  </si>
  <si>
    <t xml:space="preserve">Model</t>
  </si>
  <si>
    <t xml:space="preserve">Cách chạy</t>
  </si>
  <si>
    <t xml:space="preserve">Attack email</t>
  </si>
  <si>
    <t xml:space="preserve">Tài liệu độc (RAG)</t>
  </si>
  <si>
    <t xml:space="preserve">Email lành tính</t>
  </si>
  <si>
    <t xml:space="preserve">Ablation</t>
  </si>
  <si>
    <t xml:space="preserve">Tổng lượt</t>
  </si>
  <si>
    <t xml:space="preserve">Qwen2.5-7B-Instruct</t>
  </si>
  <si>
    <t xml:space="preserve">Local, Ollama</t>
  </si>
  <si>
    <t xml:space="preserve">GPT-4o-mini</t>
  </si>
  <si>
    <t xml:space="preserve">OpenAI API</t>
  </si>
  <si>
    <t xml:space="preserve">Llama-3.1-8B-Instruct</t>
  </si>
  <si>
    <t xml:space="preserve">TỔNG</t>
  </si>
  <si>
    <t xml:space="preserve">Cách đọc:</t>
  </si>
  <si>
    <t xml:space="preserve">• Số lượt = số mẫu × số cấu hình. Mỗi sheet model liệt kê từng cấu hình trên một dòng.</t>
  </si>
  <si>
    <t xml:space="preserve">• Ablation chỉ chạy trên Qwen (model chính): 500 attack × 6 cấu hình bỏ từng lớp = 3.000 lượt.</t>
  </si>
  <si>
    <t xml:space="preserve">• Cả 3 model dùng chung một file mẫu, cùng prompt, cùng ngưỡng, temperature = 0 — chỉ đổi model.</t>
  </si>
  <si>
    <t xml:space="preserve">• Ô xanh dương = số mẫu có thể chỉnh; ô xanh lá = lấy tự động từ sheet model.</t>
  </si>
  <si>
    <t xml:space="preserve">Qwen2.5-7B-Instruct — chạy thứ 1 (Local, Ollama)</t>
  </si>
  <si>
    <t xml:space="preserve">Dùng chung tập mẫu eval_set_v1.jsonl với cả 3 model · mỗi dòng = 1 cấu hình chạy trên toàn bộ mẫu của phần đó</t>
  </si>
  <si>
    <t xml:space="preserve">STT</t>
  </si>
  <si>
    <t xml:space="preserve">Phần thí nghiệm</t>
  </si>
  <si>
    <t xml:space="preserve">Cấu hình</t>
  </si>
  <si>
    <t xml:space="preserve">Lớp phòng thủ bật</t>
  </si>
  <si>
    <t xml:space="preserve">Số mẫu = số lượt chạy</t>
  </si>
  <si>
    <t xml:space="preserve">Đo chỉ số</t>
  </si>
  <si>
    <t xml:space="preserve">Ghi chú</t>
  </si>
  <si>
    <t xml:space="preserve">C0</t>
  </si>
  <si>
    <t xml:space="preserve">Không bật lớp nào (baseline)</t>
  </si>
  <si>
    <t xml:space="preserve">ASR, TMR, DER</t>
  </si>
  <si>
    <t xml:space="preserve">Đo mức độ bị tấn công khi chưa phòng thủ</t>
  </si>
  <si>
    <t xml:space="preserve">C1</t>
  </si>
  <si>
    <t xml:space="preserve">Chỉ Layer 1</t>
  </si>
  <si>
    <t xml:space="preserve">So với phòng thủ một lớp</t>
  </si>
  <si>
    <t xml:space="preserve">C2</t>
  </si>
  <si>
    <t xml:space="preserve">Layer 1 + 2 + 3</t>
  </si>
  <si>
    <t xml:space="preserve">Phòng thủ phía đầu vào</t>
  </si>
  <si>
    <t xml:space="preserve">C3</t>
  </si>
  <si>
    <t xml:space="preserve">Đủ 5 lớp (L1, L2, L3, L3b, L4, L5)</t>
  </si>
  <si>
    <t xml:space="preserve">Kết quả chính của bài báo</t>
  </si>
  <si>
    <t xml:space="preserve">Không bật lớp nào</t>
  </si>
  <si>
    <t xml:space="preserve">ASR (RAG)</t>
  </si>
  <si>
    <t xml:space="preserve">Tài liệu knowledge base bị cài lệnh</t>
  </si>
  <si>
    <t xml:space="preserve">Đủ 5 lớp</t>
  </si>
  <si>
    <t xml:space="preserve">Kiểm tra Layer 3b</t>
  </si>
  <si>
    <t xml:space="preserve">TSR</t>
  </si>
  <si>
    <t xml:space="preserve">Mức trả lời đúng khi không phòng thủ</t>
  </si>
  <si>
    <t xml:space="preserve">TSR, FPR</t>
  </si>
  <si>
    <t xml:space="preserve">Chứng minh không chặn nhầm email thật</t>
  </si>
  <si>
    <t xml:space="preserve">Ablation (bỏ từng lớp)</t>
  </si>
  <si>
    <t xml:space="preserve">C3 − L1</t>
  </si>
  <si>
    <t xml:space="preserve">Đủ 5 lớp nhưng tắt L1</t>
  </si>
  <si>
    <t xml:space="preserve">ΔASR so với C3</t>
  </si>
  <si>
    <t xml:space="preserve">Đo đóng góp riêng của L1</t>
  </si>
  <si>
    <t xml:space="preserve">C3 − L2</t>
  </si>
  <si>
    <t xml:space="preserve">Đủ 5 lớp nhưng tắt L2</t>
  </si>
  <si>
    <t xml:space="preserve">Đo đóng góp riêng của L2</t>
  </si>
  <si>
    <t xml:space="preserve">C3 − L3</t>
  </si>
  <si>
    <t xml:space="preserve">Đủ 5 lớp nhưng tắt L3</t>
  </si>
  <si>
    <t xml:space="preserve">Đo đóng góp riêng của L3</t>
  </si>
  <si>
    <t xml:space="preserve">C3 − L3b</t>
  </si>
  <si>
    <t xml:space="preserve">Đủ 5 lớp nhưng tắt L3b</t>
  </si>
  <si>
    <t xml:space="preserve">Đo đóng góp riêng của L3b</t>
  </si>
  <si>
    <t xml:space="preserve">C3 − L4</t>
  </si>
  <si>
    <t xml:space="preserve">Đủ 5 lớp nhưng tắt L4</t>
  </si>
  <si>
    <t xml:space="preserve">Đo đóng góp riêng của L4</t>
  </si>
  <si>
    <t xml:space="preserve">C3 − L5</t>
  </si>
  <si>
    <t xml:space="preserve">Đủ 5 lớp nhưng tắt L5</t>
  </si>
  <si>
    <t xml:space="preserve">Đo đóng góp riêng của L5</t>
  </si>
  <si>
    <t xml:space="preserve">TỔNG LƯỢT CHẠY</t>
  </si>
  <si>
    <t xml:space="preserve">Cộng theo phần</t>
  </si>
  <si>
    <t xml:space="preserve">GPT-4o-mini — chạy thứ 2 (OpenAI API)</t>
  </si>
  <si>
    <t xml:space="preserve">Llama-3.1-8B-Instruct — chạy thứ 3 (Local, Ollama)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</si>
</sst>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sz val="11"/>
      <color rgb="FF333333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350"/>
        <bgColor rgb="FF333333"/>
      </patternFill>
    </fill>
    <fill>
      <patternFill patternType="solid">
        <fgColor rgb="FFD6E6FB"/>
        <bgColor rgb="FFE7F0FC"/>
      </patternFill>
    </fill>
    <fill>
      <patternFill patternType="solid">
        <fgColor rgb="FFE7F0FC"/>
        <bgColor rgb="FFE4F5EA"/>
      </patternFill>
    </fill>
    <fill>
      <patternFill patternType="solid">
        <fgColor rgb="FFFDEBD0"/>
        <bgColor rgb="FFEFE8F7"/>
      </patternFill>
    </fill>
    <fill>
      <patternFill patternType="solid">
        <fgColor rgb="FFE4F5EA"/>
        <bgColor rgb="FFE7F0FC"/>
      </patternFill>
    </fill>
    <fill>
      <patternFill patternType="solid">
        <fgColor rgb="FFEFE8F7"/>
        <bgColor rgb="FFE7F0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8EE"/>
      </left>
      <right style="thin">
        <color rgb="FFC9D8EE"/>
      </right>
      <top style="thin">
        <color rgb="FFC9D8EE"/>
      </top>
      <bottom style="thin">
        <color rgb="FFC9D8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E4F5EA"/>
      <rgbColor rgb="FF660066"/>
      <rgbColor rgb="FFFF8080"/>
      <rgbColor rgb="FF0066CC"/>
      <rgbColor rgb="FFC9D8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C"/>
      <rgbColor rgb="FFD6E6FB"/>
      <rgbColor rgb="FFEFE8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35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s">
        <v>11</v>
      </c>
      <c r="D5" s="5" t="n">
        <f aca="false">SUMIF('Qwen2.5-7B'!$B$5:$B$18,"Attack email",'Qwen2.5-7B'!$E$5:$E$18)</f>
        <v>4000</v>
      </c>
      <c r="E5" s="5" t="n">
        <f aca="false">SUMIF('Qwen2.5-7B'!$B$5:$B$18,"Tài liệu độc (RAG)",'Qwen2.5-7B'!$E$5:$E$18)</f>
        <v>600</v>
      </c>
      <c r="F5" s="5" t="n">
        <f aca="false">SUMIF('Qwen2.5-7B'!$B$5:$B$18,"Email lành tính",'Qwen2.5-7B'!$E$5:$E$18)</f>
        <v>1000</v>
      </c>
      <c r="G5" s="5" t="n">
        <f aca="false">SUMIF('Qwen2.5-7B'!$B$5:$B$18,"Ablation (bỏ từng lớp)",'Qwen2.5-7B'!$E$5:$E$18)</f>
        <v>3000</v>
      </c>
      <c r="H5" s="6" t="n">
        <f aca="false">SUM(D5:G5)</f>
        <v>8600</v>
      </c>
    </row>
    <row r="6" customFormat="false" ht="15" hidden="false" customHeight="false" outlineLevel="0" collapsed="false">
      <c r="A6" s="4" t="n">
        <v>2</v>
      </c>
      <c r="B6" s="4" t="s">
        <v>12</v>
      </c>
      <c r="C6" s="4" t="s">
        <v>13</v>
      </c>
      <c r="D6" s="5" t="n">
        <f aca="false">SUMIF('GPT-4o-mini'!$B$5:$B$12,"Attack email",'GPT-4o-mini'!$E$5:$E$12)</f>
        <v>4000</v>
      </c>
      <c r="E6" s="5" t="n">
        <f aca="false">SUMIF('GPT-4o-mini'!$B$5:$B$12,"Tài liệu độc (RAG)",'GPT-4o-mini'!$E$5:$E$12)</f>
        <v>600</v>
      </c>
      <c r="F6" s="5" t="n">
        <f aca="false">SUMIF('GPT-4o-mini'!$B$5:$B$12,"Email lành tính",'GPT-4o-mini'!$E$5:$E$12)</f>
        <v>1000</v>
      </c>
      <c r="G6" s="5" t="n">
        <f aca="false">SUMIF('GPT-4o-mini'!$B$5:$B$12,"Ablation (bỏ từng lớp)",'GPT-4o-mini'!$E$5:$E$12)</f>
        <v>0</v>
      </c>
      <c r="H6" s="6" t="n">
        <f aca="false">SUM(D6:G6)</f>
        <v>5600</v>
      </c>
    </row>
    <row r="7" customFormat="false" ht="15" hidden="false" customHeight="false" outlineLevel="0" collapsed="false">
      <c r="A7" s="4" t="n">
        <v>3</v>
      </c>
      <c r="B7" s="4" t="s">
        <v>14</v>
      </c>
      <c r="C7" s="4" t="s">
        <v>11</v>
      </c>
      <c r="D7" s="5" t="n">
        <f aca="false">SUMIF('Llama-3.1-8B'!$B$5:$B$12,"Attack email",'Llama-3.1-8B'!$E$5:$E$12)</f>
        <v>4000</v>
      </c>
      <c r="E7" s="5" t="n">
        <f aca="false">SUMIF('Llama-3.1-8B'!$B$5:$B$12,"Tài liệu độc (RAG)",'Llama-3.1-8B'!$E$5:$E$12)</f>
        <v>600</v>
      </c>
      <c r="F7" s="5" t="n">
        <f aca="false">SUMIF('Llama-3.1-8B'!$B$5:$B$12,"Email lành tính",'Llama-3.1-8B'!$E$5:$E$12)</f>
        <v>1000</v>
      </c>
      <c r="G7" s="5" t="n">
        <f aca="false">SUMIF('Llama-3.1-8B'!$B$5:$B$12,"Ablation (bỏ từng lớp)",'Llama-3.1-8B'!$E$5:$E$12)</f>
        <v>0</v>
      </c>
      <c r="H7" s="6" t="n">
        <f aca="false">SUM(D7:G7)</f>
        <v>5600</v>
      </c>
    </row>
    <row r="8" customFormat="false" ht="15" hidden="false" customHeight="false" outlineLevel="0" collapsed="false">
      <c r="A8" s="7"/>
      <c r="B8" s="8" t="s">
        <v>15</v>
      </c>
      <c r="C8" s="7"/>
      <c r="D8" s="9" t="n">
        <f aca="false">SUM(D5:D7)</f>
        <v>12000</v>
      </c>
      <c r="E8" s="9" t="n">
        <f aca="false">SUM(E5:E7)</f>
        <v>1800</v>
      </c>
      <c r="F8" s="9" t="n">
        <f aca="false">SUM(F5:F7)</f>
        <v>3000</v>
      </c>
      <c r="G8" s="9" t="n">
        <f aca="false">SUM(G5:G7)</f>
        <v>3000</v>
      </c>
      <c r="H8" s="9" t="n">
        <f aca="false">SUM(H5:H7)</f>
        <v>19800</v>
      </c>
    </row>
    <row r="10" customFormat="false" ht="15" hidden="false" customHeight="false" outlineLevel="0" collapsed="false">
      <c r="A10" s="10" t="s">
        <v>16</v>
      </c>
    </row>
    <row r="11" customFormat="false" ht="15" hidden="false" customHeight="false" outlineLevel="0" collapsed="false">
      <c r="A11" s="11" t="s">
        <v>17</v>
      </c>
    </row>
    <row r="12" customFormat="false" ht="15" hidden="false" customHeight="false" outlineLevel="0" collapsed="false">
      <c r="A12" s="11" t="s">
        <v>18</v>
      </c>
    </row>
    <row r="13" customFormat="false" ht="15" hidden="false" customHeight="false" outlineLevel="0" collapsed="false">
      <c r="A13" s="11" t="s">
        <v>19</v>
      </c>
    </row>
    <row r="14" customFormat="false" ht="15" hidden="false" customHeight="false" outlineLevel="0" collapsed="false">
      <c r="A14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26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</row>
    <row r="5" customFormat="false" ht="26.85" hidden="false" customHeight="false" outlineLevel="0" collapsed="false">
      <c r="A5" s="12" t="n">
        <v>1</v>
      </c>
      <c r="B5" s="13" t="s">
        <v>5</v>
      </c>
      <c r="C5" s="13" t="s">
        <v>30</v>
      </c>
      <c r="D5" s="13" t="s">
        <v>31</v>
      </c>
      <c r="E5" s="14" t="n">
        <v>1000</v>
      </c>
      <c r="F5" s="13" t="s">
        <v>32</v>
      </c>
      <c r="G5" s="13" t="s">
        <v>33</v>
      </c>
    </row>
    <row r="6" customFormat="false" ht="15" hidden="false" customHeight="false" outlineLevel="0" collapsed="false">
      <c r="A6" s="12" t="n">
        <v>2</v>
      </c>
      <c r="B6" s="13" t="s">
        <v>5</v>
      </c>
      <c r="C6" s="13" t="s">
        <v>34</v>
      </c>
      <c r="D6" s="13" t="s">
        <v>35</v>
      </c>
      <c r="E6" s="14" t="n">
        <v>1000</v>
      </c>
      <c r="F6" s="13" t="s">
        <v>32</v>
      </c>
      <c r="G6" s="13" t="s">
        <v>36</v>
      </c>
    </row>
    <row r="7" customFormat="false" ht="15" hidden="false" customHeight="false" outlineLevel="0" collapsed="false">
      <c r="A7" s="12" t="n">
        <v>3</v>
      </c>
      <c r="B7" s="13" t="s">
        <v>5</v>
      </c>
      <c r="C7" s="13" t="s">
        <v>37</v>
      </c>
      <c r="D7" s="13" t="s">
        <v>38</v>
      </c>
      <c r="E7" s="14" t="n">
        <v>1000</v>
      </c>
      <c r="F7" s="13" t="s">
        <v>32</v>
      </c>
      <c r="G7" s="13" t="s">
        <v>39</v>
      </c>
    </row>
    <row r="8" customFormat="false" ht="15" hidden="false" customHeight="false" outlineLevel="0" collapsed="false">
      <c r="A8" s="12" t="n">
        <v>4</v>
      </c>
      <c r="B8" s="13" t="s">
        <v>5</v>
      </c>
      <c r="C8" s="13" t="s">
        <v>40</v>
      </c>
      <c r="D8" s="13" t="s">
        <v>41</v>
      </c>
      <c r="E8" s="14" t="n">
        <v>1000</v>
      </c>
      <c r="F8" s="13" t="s">
        <v>32</v>
      </c>
      <c r="G8" s="13" t="s">
        <v>42</v>
      </c>
    </row>
    <row r="9" customFormat="false" ht="15" hidden="false" customHeight="false" outlineLevel="0" collapsed="false">
      <c r="A9" s="15" t="n">
        <v>5</v>
      </c>
      <c r="B9" s="16" t="s">
        <v>6</v>
      </c>
      <c r="C9" s="16" t="s">
        <v>30</v>
      </c>
      <c r="D9" s="16" t="s">
        <v>43</v>
      </c>
      <c r="E9" s="17" t="n">
        <v>300</v>
      </c>
      <c r="F9" s="16" t="s">
        <v>44</v>
      </c>
      <c r="G9" s="16" t="s">
        <v>45</v>
      </c>
    </row>
    <row r="10" customFormat="false" ht="15" hidden="false" customHeight="false" outlineLevel="0" collapsed="false">
      <c r="A10" s="15" t="n">
        <v>6</v>
      </c>
      <c r="B10" s="16" t="s">
        <v>6</v>
      </c>
      <c r="C10" s="16" t="s">
        <v>40</v>
      </c>
      <c r="D10" s="16" t="s">
        <v>46</v>
      </c>
      <c r="E10" s="17" t="n">
        <v>300</v>
      </c>
      <c r="F10" s="16" t="s">
        <v>44</v>
      </c>
      <c r="G10" s="16" t="s">
        <v>47</v>
      </c>
    </row>
    <row r="11" customFormat="false" ht="15" hidden="false" customHeight="false" outlineLevel="0" collapsed="false">
      <c r="A11" s="18" t="n">
        <v>7</v>
      </c>
      <c r="B11" s="19" t="s">
        <v>7</v>
      </c>
      <c r="C11" s="19" t="s">
        <v>30</v>
      </c>
      <c r="D11" s="19" t="s">
        <v>43</v>
      </c>
      <c r="E11" s="20" t="n">
        <v>500</v>
      </c>
      <c r="F11" s="19" t="s">
        <v>48</v>
      </c>
      <c r="G11" s="19" t="s">
        <v>49</v>
      </c>
    </row>
    <row r="12" customFormat="false" ht="15" hidden="false" customHeight="false" outlineLevel="0" collapsed="false">
      <c r="A12" s="18" t="n">
        <v>8</v>
      </c>
      <c r="B12" s="19" t="s">
        <v>7</v>
      </c>
      <c r="C12" s="19" t="s">
        <v>40</v>
      </c>
      <c r="D12" s="19" t="s">
        <v>46</v>
      </c>
      <c r="E12" s="20" t="n">
        <v>500</v>
      </c>
      <c r="F12" s="19" t="s">
        <v>50</v>
      </c>
      <c r="G12" s="19" t="s">
        <v>51</v>
      </c>
    </row>
    <row r="13" customFormat="false" ht="15" hidden="false" customHeight="false" outlineLevel="0" collapsed="false">
      <c r="A13" s="21" t="n">
        <v>9</v>
      </c>
      <c r="B13" s="22" t="s">
        <v>52</v>
      </c>
      <c r="C13" s="22" t="s">
        <v>53</v>
      </c>
      <c r="D13" s="22" t="s">
        <v>54</v>
      </c>
      <c r="E13" s="23" t="n">
        <v>500</v>
      </c>
      <c r="F13" s="22" t="s">
        <v>55</v>
      </c>
      <c r="G13" s="22" t="s">
        <v>56</v>
      </c>
    </row>
    <row r="14" customFormat="false" ht="15" hidden="false" customHeight="false" outlineLevel="0" collapsed="false">
      <c r="A14" s="21" t="n">
        <v>10</v>
      </c>
      <c r="B14" s="22" t="s">
        <v>52</v>
      </c>
      <c r="C14" s="22" t="s">
        <v>57</v>
      </c>
      <c r="D14" s="22" t="s">
        <v>58</v>
      </c>
      <c r="E14" s="23" t="n">
        <v>500</v>
      </c>
      <c r="F14" s="22" t="s">
        <v>55</v>
      </c>
      <c r="G14" s="22" t="s">
        <v>59</v>
      </c>
    </row>
    <row r="15" customFormat="false" ht="15" hidden="false" customHeight="false" outlineLevel="0" collapsed="false">
      <c r="A15" s="21" t="n">
        <v>11</v>
      </c>
      <c r="B15" s="22" t="s">
        <v>52</v>
      </c>
      <c r="C15" s="22" t="s">
        <v>60</v>
      </c>
      <c r="D15" s="22" t="s">
        <v>61</v>
      </c>
      <c r="E15" s="23" t="n">
        <v>500</v>
      </c>
      <c r="F15" s="22" t="s">
        <v>55</v>
      </c>
      <c r="G15" s="22" t="s">
        <v>62</v>
      </c>
    </row>
    <row r="16" customFormat="false" ht="15" hidden="false" customHeight="false" outlineLevel="0" collapsed="false">
      <c r="A16" s="21" t="n">
        <v>12</v>
      </c>
      <c r="B16" s="22" t="s">
        <v>52</v>
      </c>
      <c r="C16" s="22" t="s">
        <v>63</v>
      </c>
      <c r="D16" s="22" t="s">
        <v>64</v>
      </c>
      <c r="E16" s="23" t="n">
        <v>500</v>
      </c>
      <c r="F16" s="22" t="s">
        <v>55</v>
      </c>
      <c r="G16" s="22" t="s">
        <v>65</v>
      </c>
    </row>
    <row r="17" customFormat="false" ht="15" hidden="false" customHeight="false" outlineLevel="0" collapsed="false">
      <c r="A17" s="21" t="n">
        <v>13</v>
      </c>
      <c r="B17" s="22" t="s">
        <v>52</v>
      </c>
      <c r="C17" s="22" t="s">
        <v>66</v>
      </c>
      <c r="D17" s="22" t="s">
        <v>67</v>
      </c>
      <c r="E17" s="23" t="n">
        <v>500</v>
      </c>
      <c r="F17" s="22" t="s">
        <v>55</v>
      </c>
      <c r="G17" s="22" t="s">
        <v>68</v>
      </c>
    </row>
    <row r="18" customFormat="false" ht="15" hidden="false" customHeight="false" outlineLevel="0" collapsed="false">
      <c r="A18" s="21" t="n">
        <v>14</v>
      </c>
      <c r="B18" s="22" t="s">
        <v>52</v>
      </c>
      <c r="C18" s="22" t="s">
        <v>69</v>
      </c>
      <c r="D18" s="22" t="s">
        <v>70</v>
      </c>
      <c r="E18" s="23" t="n">
        <v>500</v>
      </c>
      <c r="F18" s="22" t="s">
        <v>55</v>
      </c>
      <c r="G18" s="22" t="s">
        <v>71</v>
      </c>
    </row>
    <row r="19" customFormat="false" ht="15" hidden="false" customHeight="false" outlineLevel="0" collapsed="false">
      <c r="A19" s="7"/>
      <c r="B19" s="8" t="s">
        <v>72</v>
      </c>
      <c r="C19" s="7"/>
      <c r="D19" s="7"/>
      <c r="E19" s="9" t="n">
        <f aca="false">SUM(E5:E18)</f>
        <v>8600</v>
      </c>
      <c r="F19" s="7"/>
      <c r="G19" s="7"/>
    </row>
    <row r="21" customFormat="false" ht="15" hidden="false" customHeight="false" outlineLevel="0" collapsed="false">
      <c r="B21" s="24" t="s">
        <v>73</v>
      </c>
    </row>
    <row r="22" customFormat="false" ht="15" hidden="false" customHeight="false" outlineLevel="0" collapsed="false">
      <c r="B22" s="25" t="s">
        <v>5</v>
      </c>
      <c r="E22" s="26" t="n">
        <f aca="false">SUMIF(B5:B18,B22,E5:E18)</f>
        <v>4000</v>
      </c>
    </row>
    <row r="23" customFormat="false" ht="15" hidden="false" customHeight="false" outlineLevel="0" collapsed="false">
      <c r="B23" s="25" t="s">
        <v>6</v>
      </c>
      <c r="E23" s="26" t="n">
        <f aca="false">SUMIF(B5:B18,B23,E5:E18)</f>
        <v>600</v>
      </c>
    </row>
    <row r="24" customFormat="false" ht="15" hidden="false" customHeight="false" outlineLevel="0" collapsed="false">
      <c r="B24" s="25" t="s">
        <v>7</v>
      </c>
      <c r="E24" s="26" t="n">
        <f aca="false">SUMIF(B5:B18,B24,E5:E18)</f>
        <v>1000</v>
      </c>
    </row>
    <row r="25" customFormat="false" ht="15" hidden="false" customHeight="false" outlineLevel="0" collapsed="false">
      <c r="B25" s="25" t="s">
        <v>52</v>
      </c>
      <c r="E25" s="26" t="n">
        <f aca="false">SUMIF(B5:B18,B25,E5:E18)</f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22</v>
      </c>
    </row>
    <row r="4" customFormat="false" ht="26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</row>
    <row r="5" customFormat="false" ht="26.85" hidden="false" customHeight="false" outlineLevel="0" collapsed="false">
      <c r="A5" s="12" t="n">
        <v>1</v>
      </c>
      <c r="B5" s="13" t="s">
        <v>5</v>
      </c>
      <c r="C5" s="13" t="s">
        <v>30</v>
      </c>
      <c r="D5" s="13" t="s">
        <v>31</v>
      </c>
      <c r="E5" s="14" t="n">
        <v>1000</v>
      </c>
      <c r="F5" s="13" t="s">
        <v>32</v>
      </c>
      <c r="G5" s="13" t="s">
        <v>33</v>
      </c>
    </row>
    <row r="6" customFormat="false" ht="15" hidden="false" customHeight="false" outlineLevel="0" collapsed="false">
      <c r="A6" s="12" t="n">
        <v>2</v>
      </c>
      <c r="B6" s="13" t="s">
        <v>5</v>
      </c>
      <c r="C6" s="13" t="s">
        <v>34</v>
      </c>
      <c r="D6" s="13" t="s">
        <v>35</v>
      </c>
      <c r="E6" s="14" t="n">
        <v>1000</v>
      </c>
      <c r="F6" s="13" t="s">
        <v>32</v>
      </c>
      <c r="G6" s="13" t="s">
        <v>36</v>
      </c>
    </row>
    <row r="7" customFormat="false" ht="15" hidden="false" customHeight="false" outlineLevel="0" collapsed="false">
      <c r="A7" s="12" t="n">
        <v>3</v>
      </c>
      <c r="B7" s="13" t="s">
        <v>5</v>
      </c>
      <c r="C7" s="13" t="s">
        <v>37</v>
      </c>
      <c r="D7" s="13" t="s">
        <v>38</v>
      </c>
      <c r="E7" s="14" t="n">
        <v>1000</v>
      </c>
      <c r="F7" s="13" t="s">
        <v>32</v>
      </c>
      <c r="G7" s="13" t="s">
        <v>39</v>
      </c>
    </row>
    <row r="8" customFormat="false" ht="15" hidden="false" customHeight="false" outlineLevel="0" collapsed="false">
      <c r="A8" s="12" t="n">
        <v>4</v>
      </c>
      <c r="B8" s="13" t="s">
        <v>5</v>
      </c>
      <c r="C8" s="13" t="s">
        <v>40</v>
      </c>
      <c r="D8" s="13" t="s">
        <v>41</v>
      </c>
      <c r="E8" s="14" t="n">
        <v>1000</v>
      </c>
      <c r="F8" s="13" t="s">
        <v>32</v>
      </c>
      <c r="G8" s="13" t="s">
        <v>42</v>
      </c>
    </row>
    <row r="9" customFormat="false" ht="15" hidden="false" customHeight="false" outlineLevel="0" collapsed="false">
      <c r="A9" s="15" t="n">
        <v>5</v>
      </c>
      <c r="B9" s="16" t="s">
        <v>6</v>
      </c>
      <c r="C9" s="16" t="s">
        <v>30</v>
      </c>
      <c r="D9" s="16" t="s">
        <v>43</v>
      </c>
      <c r="E9" s="17" t="n">
        <v>300</v>
      </c>
      <c r="F9" s="16" t="s">
        <v>44</v>
      </c>
      <c r="G9" s="16" t="s">
        <v>45</v>
      </c>
    </row>
    <row r="10" customFormat="false" ht="15" hidden="false" customHeight="false" outlineLevel="0" collapsed="false">
      <c r="A10" s="15" t="n">
        <v>6</v>
      </c>
      <c r="B10" s="16" t="s">
        <v>6</v>
      </c>
      <c r="C10" s="16" t="s">
        <v>40</v>
      </c>
      <c r="D10" s="16" t="s">
        <v>46</v>
      </c>
      <c r="E10" s="17" t="n">
        <v>300</v>
      </c>
      <c r="F10" s="16" t="s">
        <v>44</v>
      </c>
      <c r="G10" s="16" t="s">
        <v>47</v>
      </c>
    </row>
    <row r="11" customFormat="false" ht="15" hidden="false" customHeight="false" outlineLevel="0" collapsed="false">
      <c r="A11" s="18" t="n">
        <v>7</v>
      </c>
      <c r="B11" s="19" t="s">
        <v>7</v>
      </c>
      <c r="C11" s="19" t="s">
        <v>30</v>
      </c>
      <c r="D11" s="19" t="s">
        <v>43</v>
      </c>
      <c r="E11" s="20" t="n">
        <v>500</v>
      </c>
      <c r="F11" s="19" t="s">
        <v>48</v>
      </c>
      <c r="G11" s="19" t="s">
        <v>49</v>
      </c>
    </row>
    <row r="12" customFormat="false" ht="15" hidden="false" customHeight="false" outlineLevel="0" collapsed="false">
      <c r="A12" s="18" t="n">
        <v>8</v>
      </c>
      <c r="B12" s="19" t="s">
        <v>7</v>
      </c>
      <c r="C12" s="19" t="s">
        <v>40</v>
      </c>
      <c r="D12" s="19" t="s">
        <v>46</v>
      </c>
      <c r="E12" s="20" t="n">
        <v>500</v>
      </c>
      <c r="F12" s="19" t="s">
        <v>50</v>
      </c>
      <c r="G12" s="19" t="s">
        <v>51</v>
      </c>
    </row>
    <row r="13" customFormat="false" ht="15" hidden="false" customHeight="false" outlineLevel="0" collapsed="false">
      <c r="A13" s="7"/>
      <c r="B13" s="8" t="s">
        <v>72</v>
      </c>
      <c r="C13" s="7"/>
      <c r="D13" s="7"/>
      <c r="E13" s="9" t="n">
        <f aca="false">SUM(E5:E12)</f>
        <v>5600</v>
      </c>
      <c r="F13" s="7"/>
      <c r="G13" s="7"/>
    </row>
    <row r="15" customFormat="false" ht="15" hidden="false" customHeight="false" outlineLevel="0" collapsed="false">
      <c r="B15" s="24" t="s">
        <v>73</v>
      </c>
    </row>
    <row r="16" customFormat="false" ht="15" hidden="false" customHeight="false" outlineLevel="0" collapsed="false">
      <c r="B16" s="25" t="s">
        <v>5</v>
      </c>
      <c r="E16" s="26" t="n">
        <f aca="false">SUMIF(B5:B12,B16,E5:E12)</f>
        <v>4000</v>
      </c>
    </row>
    <row r="17" customFormat="false" ht="15" hidden="false" customHeight="false" outlineLevel="0" collapsed="false">
      <c r="B17" s="25" t="s">
        <v>6</v>
      </c>
      <c r="E17" s="26" t="n">
        <f aca="false">SUMIF(B5:B12,B17,E5:E12)</f>
        <v>600</v>
      </c>
    </row>
    <row r="18" customFormat="false" ht="15" hidden="false" customHeight="false" outlineLevel="0" collapsed="false">
      <c r="B18" s="25" t="s">
        <v>7</v>
      </c>
      <c r="E18" s="26" t="n">
        <f aca="false">SUMIF(B5:B12,B18,E5:E12)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22</v>
      </c>
    </row>
    <row r="4" customFormat="false" ht="26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</row>
    <row r="5" customFormat="false" ht="26.85" hidden="false" customHeight="false" outlineLevel="0" collapsed="false">
      <c r="A5" s="12" t="n">
        <v>1</v>
      </c>
      <c r="B5" s="13" t="s">
        <v>5</v>
      </c>
      <c r="C5" s="13" t="s">
        <v>30</v>
      </c>
      <c r="D5" s="13" t="s">
        <v>31</v>
      </c>
      <c r="E5" s="14" t="n">
        <v>1000</v>
      </c>
      <c r="F5" s="13" t="s">
        <v>32</v>
      </c>
      <c r="G5" s="13" t="s">
        <v>33</v>
      </c>
    </row>
    <row r="6" customFormat="false" ht="15" hidden="false" customHeight="false" outlineLevel="0" collapsed="false">
      <c r="A6" s="12" t="n">
        <v>2</v>
      </c>
      <c r="B6" s="13" t="s">
        <v>5</v>
      </c>
      <c r="C6" s="13" t="s">
        <v>34</v>
      </c>
      <c r="D6" s="13" t="s">
        <v>35</v>
      </c>
      <c r="E6" s="14" t="n">
        <v>1000</v>
      </c>
      <c r="F6" s="13" t="s">
        <v>32</v>
      </c>
      <c r="G6" s="13" t="s">
        <v>36</v>
      </c>
    </row>
    <row r="7" customFormat="false" ht="15" hidden="false" customHeight="false" outlineLevel="0" collapsed="false">
      <c r="A7" s="12" t="n">
        <v>3</v>
      </c>
      <c r="B7" s="13" t="s">
        <v>5</v>
      </c>
      <c r="C7" s="13" t="s">
        <v>37</v>
      </c>
      <c r="D7" s="13" t="s">
        <v>38</v>
      </c>
      <c r="E7" s="14" t="n">
        <v>1000</v>
      </c>
      <c r="F7" s="13" t="s">
        <v>32</v>
      </c>
      <c r="G7" s="13" t="s">
        <v>39</v>
      </c>
    </row>
    <row r="8" customFormat="false" ht="15" hidden="false" customHeight="false" outlineLevel="0" collapsed="false">
      <c r="A8" s="12" t="n">
        <v>4</v>
      </c>
      <c r="B8" s="13" t="s">
        <v>5</v>
      </c>
      <c r="C8" s="13" t="s">
        <v>40</v>
      </c>
      <c r="D8" s="13" t="s">
        <v>41</v>
      </c>
      <c r="E8" s="14" t="n">
        <v>1000</v>
      </c>
      <c r="F8" s="13" t="s">
        <v>32</v>
      </c>
      <c r="G8" s="13" t="s">
        <v>42</v>
      </c>
    </row>
    <row r="9" customFormat="false" ht="15" hidden="false" customHeight="false" outlineLevel="0" collapsed="false">
      <c r="A9" s="15" t="n">
        <v>5</v>
      </c>
      <c r="B9" s="16" t="s">
        <v>6</v>
      </c>
      <c r="C9" s="16" t="s">
        <v>30</v>
      </c>
      <c r="D9" s="16" t="s">
        <v>43</v>
      </c>
      <c r="E9" s="17" t="n">
        <v>300</v>
      </c>
      <c r="F9" s="16" t="s">
        <v>44</v>
      </c>
      <c r="G9" s="16" t="s">
        <v>45</v>
      </c>
    </row>
    <row r="10" customFormat="false" ht="15" hidden="false" customHeight="false" outlineLevel="0" collapsed="false">
      <c r="A10" s="15" t="n">
        <v>6</v>
      </c>
      <c r="B10" s="16" t="s">
        <v>6</v>
      </c>
      <c r="C10" s="16" t="s">
        <v>40</v>
      </c>
      <c r="D10" s="16" t="s">
        <v>46</v>
      </c>
      <c r="E10" s="17" t="n">
        <v>300</v>
      </c>
      <c r="F10" s="16" t="s">
        <v>44</v>
      </c>
      <c r="G10" s="16" t="s">
        <v>47</v>
      </c>
    </row>
    <row r="11" customFormat="false" ht="15" hidden="false" customHeight="false" outlineLevel="0" collapsed="false">
      <c r="A11" s="18" t="n">
        <v>7</v>
      </c>
      <c r="B11" s="19" t="s">
        <v>7</v>
      </c>
      <c r="C11" s="19" t="s">
        <v>30</v>
      </c>
      <c r="D11" s="19" t="s">
        <v>43</v>
      </c>
      <c r="E11" s="20" t="n">
        <v>500</v>
      </c>
      <c r="F11" s="19" t="s">
        <v>48</v>
      </c>
      <c r="G11" s="19" t="s">
        <v>49</v>
      </c>
    </row>
    <row r="12" customFormat="false" ht="15" hidden="false" customHeight="false" outlineLevel="0" collapsed="false">
      <c r="A12" s="18" t="n">
        <v>8</v>
      </c>
      <c r="B12" s="19" t="s">
        <v>7</v>
      </c>
      <c r="C12" s="19" t="s">
        <v>40</v>
      </c>
      <c r="D12" s="19" t="s">
        <v>46</v>
      </c>
      <c r="E12" s="20" t="n">
        <v>500</v>
      </c>
      <c r="F12" s="19" t="s">
        <v>50</v>
      </c>
      <c r="G12" s="19" t="s">
        <v>51</v>
      </c>
    </row>
    <row r="13" customFormat="false" ht="15" hidden="false" customHeight="false" outlineLevel="0" collapsed="false">
      <c r="A13" s="7"/>
      <c r="B13" s="8" t="s">
        <v>72</v>
      </c>
      <c r="C13" s="7"/>
      <c r="D13" s="7"/>
      <c r="E13" s="9" t="n">
        <f aca="false">SUM(E5:E12)</f>
        <v>5600</v>
      </c>
      <c r="F13" s="7"/>
      <c r="G13" s="7"/>
    </row>
    <row r="15" customFormat="false" ht="15" hidden="false" customHeight="false" outlineLevel="0" collapsed="false">
      <c r="B15" s="24" t="s">
        <v>73</v>
      </c>
    </row>
    <row r="16" customFormat="false" ht="15" hidden="false" customHeight="false" outlineLevel="0" collapsed="false">
      <c r="B16" s="25" t="s">
        <v>5</v>
      </c>
      <c r="E16" s="26" t="n">
        <f aca="false">SUMIF(B5:B12,B16,E5:E12)</f>
        <v>4000</v>
      </c>
    </row>
    <row r="17" customFormat="false" ht="15" hidden="false" customHeight="false" outlineLevel="0" collapsed="false">
      <c r="B17" s="25" t="s">
        <v>6</v>
      </c>
      <c r="E17" s="26" t="n">
        <f aca="false">SUMIF(B5:B12,B17,E5:E12)</f>
        <v>600</v>
      </c>
    </row>
    <row r="18" customFormat="false" ht="15" hidden="false" customHeight="false" outlineLevel="0" collapsed="false">
      <c r="B18" s="25" t="s">
        <v>7</v>
      </c>
      <c r="E18" s="26" t="n">
        <f aca="false">SUMIF(B5:B12,B18,E5:E12)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2026-10-01T00:56:35Z</dcterms:created>
  <dc:creator>openpyxl</dc:creator>
  <dc:description/>
  <dc:language>en-US</dc:language>
  <cp:lastModifiedBy/>
  <dcterms:modified xsi:type="dcterms:W3CDTF">2026-10-01T00:56:35Z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